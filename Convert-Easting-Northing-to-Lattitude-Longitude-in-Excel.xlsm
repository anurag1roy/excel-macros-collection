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in User\Desktop\SAQUIB\"/>
    </mc:Choice>
  </mc:AlternateContent>
  <xr:revisionPtr revIDLastSave="0" documentId="13_ncr:1_{2D73701C-9109-414E-878A-BE2A6887E218}" xr6:coauthVersionLast="47" xr6:coauthVersionMax="47" xr10:uidLastSave="{00000000-0000-0000-0000-000000000000}"/>
  <bookViews>
    <workbookView xWindow="-120" yWindow="-120" windowWidth="29040" windowHeight="15840" xr2:uid="{D4F10B54-6459-41D0-A284-0D1E74E310EE}"/>
  </bookViews>
  <sheets>
    <sheet name="Formula" sheetId="4" r:id="rId1"/>
    <sheet name="VB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4" l="1"/>
  <c r="G13" i="4"/>
  <c r="G14" i="4"/>
  <c r="G15" i="4"/>
  <c r="F12" i="4"/>
  <c r="F13" i="4"/>
  <c r="F14" i="4"/>
  <c r="F15" i="4"/>
  <c r="E12" i="4"/>
  <c r="E13" i="4"/>
  <c r="E14" i="4"/>
  <c r="E15" i="4"/>
  <c r="D12" i="4"/>
  <c r="D13" i="4"/>
  <c r="D14" i="4"/>
  <c r="D15" i="4"/>
  <c r="G6" i="4"/>
  <c r="G7" i="4"/>
  <c r="G8" i="4"/>
  <c r="G9" i="4"/>
  <c r="G10" i="4"/>
  <c r="G11" i="4"/>
  <c r="G5" i="4"/>
  <c r="F6" i="4"/>
  <c r="F7" i="4"/>
  <c r="F8" i="4"/>
  <c r="F9" i="4"/>
  <c r="F10" i="4"/>
  <c r="F11" i="4"/>
  <c r="F5" i="4"/>
  <c r="E11" i="4"/>
  <c r="D11" i="4"/>
  <c r="E10" i="4"/>
  <c r="D10" i="4"/>
  <c r="E9" i="4"/>
  <c r="D9" i="4"/>
  <c r="E8" i="4"/>
  <c r="D8" i="4"/>
  <c r="E7" i="4"/>
  <c r="D7" i="4"/>
  <c r="E6" i="4"/>
  <c r="D6" i="4"/>
  <c r="E5" i="4"/>
  <c r="D5" i="4"/>
</calcChain>
</file>

<file path=xl/sharedStrings.xml><?xml version="1.0" encoding="utf-8"?>
<sst xmlns="http://schemas.openxmlformats.org/spreadsheetml/2006/main" count="12" uniqueCount="10">
  <si>
    <t>Longitude</t>
  </si>
  <si>
    <t>Using VBA Code</t>
  </si>
  <si>
    <t>Easting (m)</t>
  </si>
  <si>
    <t>Northing (m)</t>
  </si>
  <si>
    <t>Longitude (Decimal)</t>
  </si>
  <si>
    <t>Longitude (Degree, Minute &amp; Second)</t>
  </si>
  <si>
    <t>Convert Easting Northing to Latitude Longitude</t>
  </si>
  <si>
    <t>Latitude (Decimal)</t>
  </si>
  <si>
    <t>Latitude (Degree, Minute &amp; Second)</t>
  </si>
  <si>
    <t>Latitude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</si>
</sst>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6">
    <xf numFmtId="0" fontId="0" fillId="0" borderId="0" xfId="0"/>
    <xf numFmtId="0" fontId="2" fillId="3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3" fillId="2" borderId="1" xfId="1" applyFont="1" applyFill="1" applyAlignment="1">
      <alignment horizontal="center" vertical="center"/>
    </xf>
  </cellXfs>
  <cellStyles count="2">
    <cellStyle name="Heading 2" xfId="1" builtinId="1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177B9-0FF3-4B8A-9B5A-73DA87C6DE4F}">
  <sheetPr codeName="Sheet1"/>
  <dimension ref="B2:G15"/>
  <sheetViews>
    <sheetView showGridLines="0" tabSelected="1" workbookViewId="0">
      <selection activeCell="O11" sqref="O11"/>
    </sheetView>
  </sheetViews>
  <sheetFormatPr defaultRowHeight="20.100000000000001" customHeight="1" x14ac:dyDescent="0.25"/>
  <cols>
    <col min="1" max="1" width="5.7109375" style="3" customWidth="1"/>
    <col min="2" max="2" width="11.85546875" style="3" customWidth="1"/>
    <col min="3" max="3" width="13.85546875" style="3" bestFit="1" customWidth="1"/>
    <col min="4" max="4" width="11.7109375" style="3" customWidth="1"/>
    <col min="5" max="5" width="16" style="3" customWidth="1"/>
    <col min="6" max="6" width="12.42578125" style="3" bestFit="1" customWidth="1"/>
    <col min="7" max="7" width="15.140625" style="3" customWidth="1"/>
    <col min="8" max="8" width="6.85546875" style="3" customWidth="1"/>
    <col min="9" max="16384" width="9.140625" style="3"/>
  </cols>
  <sheetData>
    <row r="2" spans="2:7" ht="18" thickBot="1" x14ac:dyDescent="0.3">
      <c r="B2" s="5" t="s">
        <v>6</v>
      </c>
      <c r="C2" s="5"/>
      <c r="D2" s="5"/>
      <c r="E2" s="5"/>
      <c r="F2" s="5"/>
      <c r="G2" s="5"/>
    </row>
    <row r="3" spans="2:7" ht="20.100000000000001" customHeight="1" thickTop="1" x14ac:dyDescent="0.25"/>
    <row r="4" spans="2:7" ht="63.75" customHeight="1" x14ac:dyDescent="0.25">
      <c r="B4" s="1" t="s">
        <v>2</v>
      </c>
      <c r="C4" s="1" t="s">
        <v>3</v>
      </c>
      <c r="D4" s="4" t="s">
        <v>7</v>
      </c>
      <c r="E4" s="4" t="s">
        <v>4</v>
      </c>
      <c r="F4" s="4" t="s">
        <v>8</v>
      </c>
      <c r="G4" s="4" t="s">
        <v>5</v>
      </c>
    </row>
    <row r="5" spans="2:7" ht="20.100000000000001" customHeight="1" x14ac:dyDescent="0.25">
      <c r="B5" s="2">
        <v>298365.56783000001</v>
      </c>
      <c r="C5" s="2">
        <v>9675278.7674000002</v>
      </c>
      <c r="D5" s="2">
        <f>ATANH(SIN(C5/6378137)/(COS(B5/6378137))) * (180/PI())</f>
        <v>247.32489768132018</v>
      </c>
      <c r="E5" s="2">
        <f>ATAN2(SIN(B5/6378137), COS(C5/6378137)) * (180/PI())</f>
        <v>49.016883074449055</v>
      </c>
      <c r="F5" s="2" t="str">
        <f>CONCATENATE(TEXT(INT(E5),"0"),"° ", TEXT(INT(MOD(E5*60,60)),"00"),"' ", TEXT(MOD(E5*3600,60),"00.00"), """")</f>
        <v>49° 01' 00.78"</v>
      </c>
      <c r="G5" s="2" t="str">
        <f>CONCATENATE(TEXT(INT(D5),"0"),"° ", TEXT(INT(MOD(D5*60,60)),"00"),"' ", TEXT(MOD(D5*3600,60),"00.00"), """")</f>
        <v>247° 19' 29.63"</v>
      </c>
    </row>
    <row r="6" spans="2:7" ht="20.100000000000001" customHeight="1" x14ac:dyDescent="0.25">
      <c r="B6" s="2">
        <v>298364.36783</v>
      </c>
      <c r="C6" s="2">
        <v>9675277.5673999991</v>
      </c>
      <c r="D6" s="2">
        <f t="shared" ref="D6:D15" si="0">ATANH(SIN(C6/6378137)/(COS(B6/6378137))) * (180/PI())</f>
        <v>247.323373541899</v>
      </c>
      <c r="E6" s="2">
        <f t="shared" ref="E6:E15" si="1">ATAN2(SIN(B6/6378137), COS(C6/6378137)) * (180/PI())</f>
        <v>49.01709608871338</v>
      </c>
      <c r="F6" s="2" t="str">
        <f t="shared" ref="F6:F15" si="2">CONCATENATE(TEXT(INT(E6),"0"),"° ", TEXT(INT(MOD(E6*60,60)),"00"),"' ", TEXT(MOD(E6*3600,60),"00.00"), """")</f>
        <v>49° 01' 01.55"</v>
      </c>
      <c r="G6" s="2" t="str">
        <f t="shared" ref="G6:G15" si="3">CONCATENATE(TEXT(INT(D6),"0"),"° ", TEXT(INT(MOD(D6*60,60)),"00"),"' ", TEXT(MOD(D6*3600,60),"00.00"), """")</f>
        <v>247° 19' 24.14"</v>
      </c>
    </row>
    <row r="7" spans="2:7" ht="20.100000000000001" customHeight="1" x14ac:dyDescent="0.25">
      <c r="B7" s="2">
        <v>298363.16782999999</v>
      </c>
      <c r="C7" s="2">
        <v>9675279.3673999999</v>
      </c>
      <c r="D7" s="2">
        <f t="shared" si="0"/>
        <v>247.32388869754175</v>
      </c>
      <c r="E7" s="2">
        <f t="shared" si="1"/>
        <v>49.017061581278966</v>
      </c>
      <c r="F7" s="2" t="str">
        <f t="shared" si="2"/>
        <v>49° 01' 01.42"</v>
      </c>
      <c r="G7" s="2" t="str">
        <f t="shared" si="3"/>
        <v>247° 19' 26.00"</v>
      </c>
    </row>
    <row r="8" spans="2:7" ht="20.100000000000001" customHeight="1" x14ac:dyDescent="0.25">
      <c r="B8" s="2">
        <v>298364.24783000001</v>
      </c>
      <c r="C8" s="2">
        <v>9675278.2674000002</v>
      </c>
      <c r="D8" s="2">
        <f t="shared" si="0"/>
        <v>247.32377852986215</v>
      </c>
      <c r="E8" s="2">
        <f t="shared" si="1"/>
        <v>49.017049734201009</v>
      </c>
      <c r="F8" s="2" t="str">
        <f t="shared" si="2"/>
        <v>49° 01' 01.38"</v>
      </c>
      <c r="G8" s="2" t="str">
        <f t="shared" si="3"/>
        <v>247° 19' 25.60"</v>
      </c>
    </row>
    <row r="9" spans="2:7" ht="20.100000000000001" customHeight="1" x14ac:dyDescent="0.25">
      <c r="B9" s="2">
        <v>298365.35782999999</v>
      </c>
      <c r="C9" s="2">
        <v>9675277.1674000006</v>
      </c>
      <c r="D9" s="2">
        <f t="shared" si="0"/>
        <v>247.32368607271877</v>
      </c>
      <c r="E9" s="2">
        <f t="shared" si="1"/>
        <v>49.017035037071146</v>
      </c>
      <c r="F9" s="2" t="str">
        <f t="shared" si="2"/>
        <v>49° 01' 01.33"</v>
      </c>
      <c r="G9" s="2" t="str">
        <f t="shared" si="3"/>
        <v>247° 19' 25.27"</v>
      </c>
    </row>
    <row r="10" spans="2:7" ht="20.100000000000001" customHeight="1" x14ac:dyDescent="0.25">
      <c r="B10" s="2">
        <v>298363.12783000001</v>
      </c>
      <c r="C10" s="2">
        <v>9675278.4673999995</v>
      </c>
      <c r="D10" s="2">
        <f t="shared" si="0"/>
        <v>247.32325330689346</v>
      </c>
      <c r="E10" s="2">
        <f t="shared" si="1"/>
        <v>49.017139638216427</v>
      </c>
      <c r="F10" s="2" t="str">
        <f t="shared" si="2"/>
        <v>49° 01' 01.70"</v>
      </c>
      <c r="G10" s="2" t="str">
        <f t="shared" si="3"/>
        <v>247° 19' 23.71"</v>
      </c>
    </row>
    <row r="11" spans="2:7" ht="20.100000000000001" customHeight="1" x14ac:dyDescent="0.25">
      <c r="B11" s="2">
        <v>298365.55783000001</v>
      </c>
      <c r="C11" s="2">
        <v>9675279.5673999991</v>
      </c>
      <c r="D11" s="2">
        <f t="shared" si="0"/>
        <v>247.32543560955145</v>
      </c>
      <c r="E11" s="2">
        <f t="shared" si="1"/>
        <v>49.016818018377485</v>
      </c>
      <c r="F11" s="2" t="str">
        <f t="shared" si="2"/>
        <v>49° 01' 00.54"</v>
      </c>
      <c r="G11" s="2" t="str">
        <f t="shared" si="3"/>
        <v>247° 19' 31.57"</v>
      </c>
    </row>
    <row r="12" spans="2:7" ht="20.100000000000001" customHeight="1" x14ac:dyDescent="0.25">
      <c r="B12" s="2">
        <v>298368.55783000001</v>
      </c>
      <c r="C12" s="2">
        <v>9675273.2674000002</v>
      </c>
      <c r="D12" s="2">
        <f t="shared" si="0"/>
        <v>247.32292410750173</v>
      </c>
      <c r="E12" s="2">
        <f t="shared" si="1"/>
        <v>49.017052800458458</v>
      </c>
      <c r="F12" s="2" t="str">
        <f t="shared" si="2"/>
        <v>49° 01' 01.39"</v>
      </c>
      <c r="G12" s="2" t="str">
        <f t="shared" si="3"/>
        <v>247° 19' 22.53"</v>
      </c>
    </row>
    <row r="13" spans="2:7" ht="20.100000000000001" customHeight="1" x14ac:dyDescent="0.25">
      <c r="B13" s="2">
        <v>298369.55783000001</v>
      </c>
      <c r="C13" s="2">
        <v>9675272.5673999991</v>
      </c>
      <c r="D13" s="2">
        <f t="shared" si="0"/>
        <v>247.32303861522291</v>
      </c>
      <c r="E13" s="2">
        <f t="shared" si="1"/>
        <v>49.01701555149068</v>
      </c>
      <c r="F13" s="2" t="str">
        <f t="shared" si="2"/>
        <v>49° 01' 01.26"</v>
      </c>
      <c r="G13" s="2" t="str">
        <f t="shared" si="3"/>
        <v>247° 19' 22.94"</v>
      </c>
    </row>
    <row r="14" spans="2:7" ht="20.100000000000001" customHeight="1" x14ac:dyDescent="0.25">
      <c r="B14" s="2">
        <v>298365.22782999999</v>
      </c>
      <c r="C14" s="2">
        <v>9675271.5673999991</v>
      </c>
      <c r="D14" s="2">
        <f t="shared" si="0"/>
        <v>247.31980291150072</v>
      </c>
      <c r="E14" s="2">
        <f t="shared" si="1"/>
        <v>49.017509423012477</v>
      </c>
      <c r="F14" s="2" t="str">
        <f t="shared" si="2"/>
        <v>49° 01' 03.03"</v>
      </c>
      <c r="G14" s="2" t="str">
        <f t="shared" si="3"/>
        <v>247° 19' 11.29"</v>
      </c>
    </row>
    <row r="15" spans="2:7" ht="20.100000000000001" customHeight="1" x14ac:dyDescent="0.25">
      <c r="B15" s="2">
        <v>298365.89782999997</v>
      </c>
      <c r="C15" s="2">
        <v>9675279.7674000002</v>
      </c>
      <c r="D15" s="2">
        <f t="shared" si="0"/>
        <v>247.32577229879612</v>
      </c>
      <c r="E15" s="2">
        <f t="shared" si="1"/>
        <v>49.016769215327571</v>
      </c>
      <c r="F15" s="2" t="str">
        <f t="shared" si="2"/>
        <v>49° 01' 00.37"</v>
      </c>
      <c r="G15" s="2" t="str">
        <f t="shared" si="3"/>
        <v>247° 19' 32.78"</v>
      </c>
    </row>
  </sheetData>
  <mergeCells count="1">
    <mergeCell ref="B2:G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78309-98D4-46D4-85D9-45DA36A3D081}">
  <sheetPr codeName="Sheet2"/>
  <dimension ref="B2:E15"/>
  <sheetViews>
    <sheetView showGridLines="0" workbookViewId="0">
      <selection activeCell="O7" sqref="O7"/>
    </sheetView>
  </sheetViews>
  <sheetFormatPr defaultRowHeight="20.100000000000001" customHeight="1" x14ac:dyDescent="0.25"/>
  <cols>
    <col min="1" max="1" width="6.7109375" style="3" customWidth="1"/>
    <col min="2" max="2" width="11.85546875" style="3" customWidth="1"/>
    <col min="3" max="3" width="13.85546875" style="3" bestFit="1" customWidth="1"/>
    <col min="4" max="5" width="12" style="3" bestFit="1" customWidth="1"/>
    <col min="6" max="6" width="5.85546875" style="3" customWidth="1"/>
    <col min="7" max="16384" width="9.140625" style="3"/>
  </cols>
  <sheetData>
    <row r="2" spans="2:5" ht="20.100000000000001" customHeight="1" thickBot="1" x14ac:dyDescent="0.3">
      <c r="B2" s="5" t="s">
        <v>1</v>
      </c>
      <c r="C2" s="5"/>
      <c r="D2" s="5"/>
      <c r="E2" s="5"/>
    </row>
    <row r="3" spans="2:5" ht="20.100000000000001" customHeight="1" thickTop="1" x14ac:dyDescent="0.25"/>
    <row r="4" spans="2:5" ht="20.100000000000001" customHeight="1" x14ac:dyDescent="0.25">
      <c r="B4" s="1" t="s">
        <v>2</v>
      </c>
      <c r="C4" s="1" t="s">
        <v>3</v>
      </c>
      <c r="D4" s="1" t="s">
        <v>9</v>
      </c>
      <c r="E4" s="1" t="s">
        <v>0</v>
      </c>
    </row>
    <row r="5" spans="2:5" ht="20.100000000000001" customHeight="1" x14ac:dyDescent="0.25">
      <c r="B5" s="2">
        <v>298365.56783000001</v>
      </c>
      <c r="C5" s="2">
        <v>9675278.7674000002</v>
      </c>
      <c r="D5" s="2">
        <v>247.32489768132018</v>
      </c>
      <c r="E5" s="2">
        <v>48.985831710618207</v>
      </c>
    </row>
    <row r="6" spans="2:5" ht="20.100000000000001" customHeight="1" x14ac:dyDescent="0.25">
      <c r="B6" s="2">
        <v>298364.36783</v>
      </c>
      <c r="C6" s="2">
        <v>9675277.5673999991</v>
      </c>
      <c r="D6" s="2">
        <v>247.323373541899</v>
      </c>
      <c r="E6" s="2">
        <v>48.986045007226977</v>
      </c>
    </row>
    <row r="7" spans="2:5" ht="20.100000000000001" customHeight="1" x14ac:dyDescent="0.25">
      <c r="B7" s="2">
        <v>298363.16782999999</v>
      </c>
      <c r="C7" s="2">
        <v>9675279.3673999999</v>
      </c>
      <c r="D7" s="2">
        <v>247.32388869754175</v>
      </c>
      <c r="E7" s="2">
        <v>48.986010744413718</v>
      </c>
    </row>
    <row r="8" spans="2:5" ht="20.100000000000001" customHeight="1" x14ac:dyDescent="0.25">
      <c r="B8" s="2">
        <v>298364.24783000001</v>
      </c>
      <c r="C8" s="2">
        <v>9675278.2674000002</v>
      </c>
      <c r="D8" s="2">
        <v>247.32377852986215</v>
      </c>
      <c r="E8" s="2">
        <v>48.985998670638153</v>
      </c>
    </row>
    <row r="9" spans="2:5" ht="20.100000000000001" customHeight="1" x14ac:dyDescent="0.25">
      <c r="B9" s="2">
        <v>298365.35782999999</v>
      </c>
      <c r="C9" s="2">
        <v>9675277.1674000006</v>
      </c>
      <c r="D9" s="2">
        <v>247.32368607271877</v>
      </c>
      <c r="E9" s="2">
        <v>48.985983740128468</v>
      </c>
    </row>
    <row r="10" spans="2:5" ht="20.100000000000001" customHeight="1" x14ac:dyDescent="0.25">
      <c r="B10" s="2">
        <v>298363.12783000001</v>
      </c>
      <c r="C10" s="2">
        <v>9675278.4673999995</v>
      </c>
      <c r="D10" s="2">
        <v>247.32325330689346</v>
      </c>
      <c r="E10" s="2">
        <v>48.986088821576494</v>
      </c>
    </row>
    <row r="11" spans="2:5" ht="20.100000000000001" customHeight="1" x14ac:dyDescent="0.25">
      <c r="B11" s="2">
        <v>298365.55783000001</v>
      </c>
      <c r="C11" s="2">
        <v>9675279.5673999991</v>
      </c>
      <c r="D11" s="2">
        <v>247.32543560955145</v>
      </c>
      <c r="E11" s="2">
        <v>48.985766646714794</v>
      </c>
    </row>
    <row r="12" spans="2:5" ht="20.100000000000001" customHeight="1" x14ac:dyDescent="0.25">
      <c r="B12" s="2">
        <v>298368.55783000001</v>
      </c>
      <c r="C12" s="2">
        <v>9675273.2674000002</v>
      </c>
      <c r="D12" s="2">
        <v>247.32292410750173</v>
      </c>
      <c r="E12" s="2">
        <v>48.98600083986873</v>
      </c>
    </row>
    <row r="13" spans="2:5" ht="20.100000000000001" customHeight="1" x14ac:dyDescent="0.25">
      <c r="B13" s="2">
        <v>298369.55783000001</v>
      </c>
      <c r="C13" s="2">
        <v>9675272.5673999991</v>
      </c>
      <c r="D13" s="2">
        <v>247.32303861522291</v>
      </c>
      <c r="E13" s="2">
        <v>48.985963376986831</v>
      </c>
    </row>
    <row r="14" spans="2:5" ht="20.100000000000001" customHeight="1" x14ac:dyDescent="0.25">
      <c r="B14" s="2">
        <v>298365.22782999999</v>
      </c>
      <c r="C14" s="2">
        <v>9675271.5673999991</v>
      </c>
      <c r="D14" s="2">
        <v>247.31980291150074</v>
      </c>
      <c r="E14" s="2">
        <v>48.986458225441538</v>
      </c>
    </row>
    <row r="15" spans="2:5" ht="20.100000000000001" customHeight="1" x14ac:dyDescent="0.25">
      <c r="B15" s="2">
        <v>298365.89782999997</v>
      </c>
      <c r="C15" s="2">
        <v>9675279.7674000002</v>
      </c>
      <c r="D15" s="2">
        <v>247.32577229879612</v>
      </c>
      <c r="E15" s="2">
        <v>48.985717765427715</v>
      </c>
    </row>
  </sheetData>
  <mergeCells count="1">
    <mergeCell ref="B2:E2"/>
  </mergeCells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Formula</vt:lpstr>
      <vt:lpstr>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Main User</dc:creator>
  <cp:lastModifiedBy>Main User</cp:lastModifiedBy>
  <dcterms:created xsi:type="dcterms:W3CDTF">2023-07-16T04:37:44Z</dcterms:created>
  <dcterms:modified xsi:type="dcterms:W3CDTF">2023-07-16T11:25:06Z</dcterms:modified>
</cp:coreProperties>
</file>